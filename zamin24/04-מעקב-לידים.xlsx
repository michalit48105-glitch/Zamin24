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לידים" sheetId="1" state="visible" r:id="rId3"/>
    <sheet name="סיכו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<sst xmlns="http://schemas.openxmlformats.org/spreadsheetml/2006/main" count="35" uniqueCount="35">
  <si>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#</t>
  </si>
  <si>
    <t xml:space="preserve">תאריך פנייה</t>
  </si>
  <si>
    <t xml:space="preserve">שם העסק</t>
  </si>
  <si>
    <t xml:space="preserve">איש קשר</t>
  </si>
  <si>
    <t xml:space="preserve">טלפון/קישור</t>
  </si>
  <si>
    <t xml:space="preserve">תחום</t>
  </si>
  <si>
    <t xml:space="preserve">מקור (אינסטגרם/פייסבוק/מפות/מכר)</t>
  </si>
  <si>
    <t xml:space="preserve">גרסת הודעה (א/ב/ג)</t>
  </si>
  <si>
    <t xml:space="preserve">סטטוס</t>
  </si>
  <si>
    <t xml:space="preserve">תאריך פולואפ</t>
  </si>
  <si>
    <t xml:space="preserve">הערות</t>
  </si>
  <si>
    <t xml:space="preserve">11/07/2026</t>
  </si>
  <si>
    <t xml:space="preserve">סטודיו יעל - גבות</t>
  </si>
  <si>
    <t xml:space="preserve">יעל</t>
  </si>
  <si>
    <t xml:space="preserve">instagram.com/yael.brows</t>
  </si>
  <si>
    <t xml:space="preserve">קוסמטיקה</t>
  </si>
  <si>
    <t xml:space="preserve">אינסטגרם</t>
  </si>
  <si>
    <t xml:space="preserve">א</t>
  </si>
  <si>
    <t xml:space="preserve">נשלחה הודעה</t>
  </si>
  <si>
    <t xml:space="preserve">14/07/2026</t>
  </si>
  <si>
    <t xml:space="preserve">עוקבים רבים, אין אתר - ליד חם</t>
  </si>
  <si>
    <t xml:space="preserve">לוח בקרה — זמין24</t>
  </si>
  <si>
    <t xml:space="preserve">סה"כ פניות</t>
  </si>
  <si>
    <t xml:space="preserve">ענו / מתעניינים</t>
  </si>
  <si>
    <t xml:space="preserve">שיחות שנקבעו</t>
  </si>
  <si>
    <t xml:space="preserve">עסקאות שנסגרו</t>
  </si>
  <si>
    <t xml:space="preserve">ללא מענה</t>
  </si>
  <si>
    <t xml:space="preserve">ביצועי גרסאות הודעה:</t>
  </si>
  <si>
    <t xml:space="preserve">גרסה א - נשלחו</t>
  </si>
  <si>
    <t xml:space="preserve">גרסה א - ענו</t>
  </si>
  <si>
    <t xml:space="preserve">גרסה ב - נשלחו</t>
  </si>
  <si>
    <t xml:space="preserve">גרסה ב - ענו</t>
  </si>
  <si>
    <t xml:space="preserve">גרסה ג - נשלחו</t>
  </si>
  <si>
    <t xml:space="preserve">גרסה ג - ענו</t>
  </si>
  <si>
    <t xml:space="preserve">הערה: השורה הצהובה בגיליון הלידים היא דוגמה — מחק אותה כשמתחילים.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</si>
</sst>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231C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23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</sheetData>
  <dataValidations count="2">
    <dataValidation allowBlank="true" errorStyle="stop" operator="between" showDropDown="false" showErrorMessage="false" showInputMessage="false" sqref="I2:I200" type="list">
      <formula1>"נשלחה הודעה,ענה - מתעניין,נקבעה שיחה,נשלחה הצעה,נסגר!,לא רלוונטי,אין מענה"</formula1>
      <formula2>0</formula2>
    </dataValidation>
    <dataValidation allowBlank="true" errorStyle="stop" operator="between" showDropDown="false" showErrorMessage="false" showInputMessage="false" sqref="H2:H200" type="list">
      <formula1>"א,ב,ג"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17.15" hidden="false" customHeight="false" outlineLevel="0" collapsed="false">
      <c r="A1" s="4" t="s">
        <v>21</v>
      </c>
    </row>
    <row r="3" customFormat="false" ht="15" hidden="false" customHeight="false" outlineLevel="0" collapsed="false">
      <c r="A3" s="5" t="s">
        <v>22</v>
      </c>
      <c r="B3" s="6" t="n">
        <f aca="false">COUNTA(לידים!C2:C200)</f>
        <v>1</v>
      </c>
    </row>
    <row r="4" customFormat="false" ht="15" hidden="false" customHeight="false" outlineLevel="0" collapsed="false">
      <c r="A4" s="5" t="s">
        <v>23</v>
      </c>
      <c r="B4" s="6" t="n">
        <f aca="false">COUNTIF(לידים!I2:I200,"ענה - מתעניין")+COUNTIF(לידים!I2:I200,"נקבעה שיחה")+COUNTIF(לידים!I2:I200,"נשלחה הצעה")+COUNTIF(לידים!I2:I200,"נסגר!")</f>
        <v>0</v>
      </c>
    </row>
    <row r="5" customFormat="false" ht="15" hidden="false" customHeight="false" outlineLevel="0" collapsed="false">
      <c r="A5" s="5" t="s">
        <v>24</v>
      </c>
      <c r="B5" s="6" t="n">
        <f aca="false">COUNTIF(לידים!I2:I200,"נקבעה שיחה")+COUNTIF(לידים!I2:I200,"נשלחה הצעה")+COUNTIF(לידים!I2:I200,"נסגר!")</f>
        <v>0</v>
      </c>
    </row>
    <row r="6" customFormat="false" ht="15" hidden="false" customHeight="false" outlineLevel="0" collapsed="false">
      <c r="A6" s="5" t="s">
        <v>25</v>
      </c>
      <c r="B6" s="6" t="n">
        <f aca="false">COUNTIF(לידים!I2:I200,"נסגר!")</f>
        <v>0</v>
      </c>
    </row>
    <row r="7" customFormat="false" ht="15" hidden="false" customHeight="false" outlineLevel="0" collapsed="false">
      <c r="A7" s="5" t="s">
        <v>26</v>
      </c>
      <c r="B7" s="6" t="n">
        <f aca="false">COUNTIF(לידים!I2:I200,"אין מענה")</f>
        <v>0</v>
      </c>
    </row>
    <row r="9" customFormat="false" ht="15" hidden="false" customHeight="false" outlineLevel="0" collapsed="false">
      <c r="A9" s="7" t="s">
        <v>27</v>
      </c>
    </row>
    <row r="10" customFormat="false" ht="15" hidden="false" customHeight="false" outlineLevel="0" collapsed="false">
      <c r="A10" s="6" t="s">
        <v>28</v>
      </c>
      <c r="B10" s="6" t="n">
        <f aca="false">COUNTIF(לידים!H2:H200,"א")</f>
        <v>1</v>
      </c>
      <c r="C10" s="6" t="s">
        <v>29</v>
      </c>
      <c r="D10" s="6" t="n">
        <f aca="false">COUNTIFS(לידים!H2:H200,"א",לידים!I2:I200,"&lt;&gt;נשלחה הודעה")-COUNTIFS(לידים!H2:H200,"א",לידים!I2:I200,"")</f>
        <v>0</v>
      </c>
    </row>
    <row r="11" customFormat="false" ht="15" hidden="false" customHeight="false" outlineLevel="0" collapsed="false">
      <c r="A11" s="6" t="s">
        <v>30</v>
      </c>
      <c r="B11" s="6" t="n">
        <f aca="false">COUNTIF(לידים!H2:H200,"ב")</f>
        <v>0</v>
      </c>
      <c r="C11" s="6" t="s">
        <v>31</v>
      </c>
      <c r="D11" s="6" t="n">
        <f aca="false">COUNTIFS(לידים!H2:H200,"ב",לידים!I2:I200,"&lt;&gt;נשלחה הודעה")-COUNTIFS(לידים!H2:H200,"ב",לידים!I2:I200,"")</f>
        <v>0</v>
      </c>
    </row>
    <row r="12" customFormat="false" ht="15" hidden="false" customHeight="false" outlineLevel="0" collapsed="false">
      <c r="A12" s="6" t="s">
        <v>32</v>
      </c>
      <c r="B12" s="6" t="n">
        <f aca="false">COUNTIF(לידים!H2:H200,"ג")</f>
        <v>0</v>
      </c>
      <c r="C12" s="6" t="s">
        <v>33</v>
      </c>
      <c r="D12" s="6" t="n">
        <f aca="false">COUNTIFS(לידים!H2:H200,"ג",לידים!I2:I200,"&lt;&gt;נשלחה הודעה")-COUNTIFS(לידים!H2:H200,"ג",לידים!I2:I200,"")</f>
        <v>0</v>
      </c>
    </row>
    <row r="15" customFormat="false" ht="15" hidden="false" customHeight="false" outlineLevel="0" collapsed="false">
      <c r="A15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2026-07-10T16:26:45Z</dcterms:created>
  <dc:creator>openpyxl</dc:creator>
  <dc:description/>
  <dc:language>en-US</dc:language>
  <cp:lastModifiedBy/>
  <dcterms:modified xsi:type="dcterms:W3CDTF">2026-07-10T16:26:45Z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